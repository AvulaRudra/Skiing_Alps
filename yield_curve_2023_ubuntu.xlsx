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6182cf9f7cd6cce/Documents/Skiing_Alps/"/>
    </mc:Choice>
  </mc:AlternateContent>
  <xr:revisionPtr revIDLastSave="0" documentId="8_{CFAB1C56-44AF-403F-A0C8-D3BB1FF7E53E}" xr6:coauthVersionLast="47" xr6:coauthVersionMax="47" xr10:uidLastSave="{00000000-0000-0000-0000-000000000000}"/>
  <bookViews>
    <workbookView xWindow="2520" yWindow="3060" windowWidth="21600" windowHeight="12645" activeTab="1" xr2:uid="{1A91491B-0ADA-4DF2-8736-E109272B28E2}"/>
  </bookViews>
  <sheets>
    <sheet name="Rates" sheetId="1" r:id="rId1"/>
    <sheet name="Spread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2" l="1"/>
  <c r="E13" i="2" s="1"/>
  <c r="E3" i="2"/>
  <c r="E4" i="2"/>
  <c r="E5" i="2"/>
  <c r="E6" i="2"/>
  <c r="E7" i="2"/>
  <c r="E8" i="2"/>
  <c r="E9" i="2"/>
  <c r="E10" i="2"/>
  <c r="E11" i="2"/>
  <c r="E12" i="2"/>
  <c r="E2" i="2"/>
  <c r="D3" i="2"/>
  <c r="D4" i="2"/>
  <c r="D5" i="2"/>
  <c r="D6" i="2"/>
  <c r="D7" i="2"/>
  <c r="D8" i="2"/>
  <c r="D9" i="2"/>
  <c r="D10" i="2"/>
  <c r="D11" i="2"/>
  <c r="D12" i="2"/>
  <c r="D13" i="2"/>
  <c r="D2" i="2"/>
  <c r="C3" i="2"/>
  <c r="C4" i="2"/>
  <c r="C5" i="2"/>
  <c r="C6" i="2"/>
  <c r="C7" i="2"/>
  <c r="C8" i="2"/>
  <c r="C9" i="2"/>
  <c r="C10" i="2"/>
  <c r="C11" i="2"/>
  <c r="C12" i="2"/>
  <c r="C13" i="2"/>
  <c r="C2" i="2"/>
  <c r="B3" i="2"/>
  <c r="B4" i="2"/>
  <c r="B5" i="2"/>
  <c r="B6" i="2"/>
  <c r="B7" i="2"/>
  <c r="B8" i="2"/>
  <c r="B9" i="2"/>
  <c r="B10" i="2"/>
  <c r="B11" i="2"/>
  <c r="B12" i="2"/>
  <c r="B2" i="2"/>
</calcChain>
</file>

<file path=xl/sharedStrings.xml><?xml version="1.0" encoding="utf-8"?>
<sst xmlns="http://schemas.openxmlformats.org/spreadsheetml/2006/main" count="34" uniqueCount="21">
  <si>
    <t>Date</t>
  </si>
  <si>
    <t>1-Month</t>
  </si>
  <si>
    <t>2-Year</t>
  </si>
  <si>
    <t>10-Year</t>
  </si>
  <si>
    <t>30-Year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</si>
  <si>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</si>
  <si>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</si>
  <si>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</si>
  <si>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</si>
  <si>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</si>
  <si>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</si>
  <si>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</si>
  <si>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</si>
  <si>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</si>
  <si>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</si>
  <si>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</si>
  <si>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</si>
  <si>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10Y-2Y</t>
  </si>
  <si>
    <t>10Y-1M</t>
  </si>
  <si>
    <t>30Y-10Y</t>
  </si>
  <si>
    <t>Inverted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</si>
</sst>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168" fontId="0" fillId="0" borderId="0" xfId="0" applyNumberFormat="1"/>
    <xf numFmtId="2" fontId="0" fillId="0" borderId="0" xfId="0" applyNumberFormat="1"/>
    <xf numFmtId="2" fontId="0" fillId="0" borderId="0" xfId="0" applyNumberFormat="1"/>
    <xf numFmtId="0" fontId="0" fillId="0" borderId="0" xfId="0"/>
    <xf numFmtId="2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3B822-59D7-47D3-A09D-5DC4EB4E6611}">
  <dimension ref="A1:E13"/>
  <sheetViews>
    <sheetView workbookViewId="0">
      <selection activeCell="A2" sqref="A2:A13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2" t="s">
        <v>5</v>
      </c>
      <c r="B2" s="1">
        <v>4.5199999999999996</v>
      </c>
      <c r="C2" s="3">
        <v>4.21</v>
      </c>
      <c r="D2" s="4">
        <v>3.53</v>
      </c>
      <c r="E2" s="6">
        <v>3.66</v>
      </c>
    </row>
    <row r="3" spans="1:5" x14ac:dyDescent="0.25">
      <c r="A3" s="2" t="s">
        <v>6</v>
      </c>
      <c r="B3" s="1">
        <v>4.6399999999999997</v>
      </c>
      <c r="C3" s="3">
        <v>4.53</v>
      </c>
      <c r="D3" s="4">
        <v>3.75</v>
      </c>
      <c r="E3" s="6">
        <v>3.8</v>
      </c>
    </row>
    <row r="4" spans="1:5" x14ac:dyDescent="0.25">
      <c r="A4" s="2" t="s">
        <v>7</v>
      </c>
      <c r="B4" s="1">
        <v>4.49</v>
      </c>
      <c r="C4" s="3">
        <v>4.3</v>
      </c>
      <c r="D4" s="4">
        <v>3.66</v>
      </c>
      <c r="E4" s="6">
        <v>3.77</v>
      </c>
    </row>
    <row r="5" spans="1:5" x14ac:dyDescent="0.25">
      <c r="A5" s="2" t="s">
        <v>8</v>
      </c>
      <c r="B5" s="1">
        <v>4.17</v>
      </c>
      <c r="C5" s="3">
        <v>4.0199999999999996</v>
      </c>
      <c r="D5" s="4">
        <v>3.46</v>
      </c>
      <c r="E5" s="6">
        <v>3.68</v>
      </c>
    </row>
    <row r="6" spans="1:5" x14ac:dyDescent="0.25">
      <c r="A6" s="2" t="s">
        <v>9</v>
      </c>
      <c r="B6" s="1">
        <v>5.49</v>
      </c>
      <c r="C6" s="3">
        <v>4.13</v>
      </c>
      <c r="D6" s="4">
        <v>3.57</v>
      </c>
      <c r="E6" s="6">
        <v>3.86</v>
      </c>
    </row>
    <row r="7" spans="1:5" x14ac:dyDescent="0.25">
      <c r="A7" s="2" t="s">
        <v>10</v>
      </c>
      <c r="B7" s="1">
        <v>5.2</v>
      </c>
      <c r="C7" s="3">
        <v>4.6399999999999997</v>
      </c>
      <c r="D7" s="4">
        <v>3.75</v>
      </c>
      <c r="E7" s="6">
        <v>3.87</v>
      </c>
    </row>
    <row r="8" spans="1:5" x14ac:dyDescent="0.25">
      <c r="A8" s="2" t="s">
        <v>11</v>
      </c>
      <c r="B8" s="1">
        <v>5.39</v>
      </c>
      <c r="C8" s="3">
        <v>4.83</v>
      </c>
      <c r="D8" s="4">
        <v>3.9</v>
      </c>
      <c r="E8" s="6">
        <v>3.96</v>
      </c>
    </row>
    <row r="9" spans="1:5" x14ac:dyDescent="0.25">
      <c r="A9" s="2" t="s">
        <v>12</v>
      </c>
      <c r="B9" s="1">
        <v>5.54</v>
      </c>
      <c r="C9" s="3">
        <v>4.9000000000000004</v>
      </c>
      <c r="D9" s="4">
        <v>4.17</v>
      </c>
      <c r="E9" s="6">
        <v>4.28</v>
      </c>
    </row>
    <row r="10" spans="1:5" x14ac:dyDescent="0.25">
      <c r="A10" s="2" t="s">
        <v>13</v>
      </c>
      <c r="B10" s="1">
        <v>5.53</v>
      </c>
      <c r="C10" s="3">
        <v>5.0199999999999996</v>
      </c>
      <c r="D10" s="4">
        <v>4.38</v>
      </c>
      <c r="E10" s="6">
        <v>4.47</v>
      </c>
    </row>
    <row r="11" spans="1:5" x14ac:dyDescent="0.25">
      <c r="A11" s="2" t="s">
        <v>14</v>
      </c>
      <c r="B11" s="1">
        <v>5.57</v>
      </c>
      <c r="C11" s="3">
        <v>5.07</v>
      </c>
      <c r="D11" s="4">
        <v>4.8</v>
      </c>
      <c r="E11" s="6">
        <v>4.95</v>
      </c>
    </row>
    <row r="12" spans="1:5" x14ac:dyDescent="0.25">
      <c r="A12" s="2" t="s">
        <v>15</v>
      </c>
      <c r="B12" s="1">
        <v>5.53</v>
      </c>
      <c r="C12" s="3">
        <v>4.88</v>
      </c>
      <c r="D12" s="4">
        <v>4.5</v>
      </c>
      <c r="E12" s="6">
        <v>4.66</v>
      </c>
    </row>
    <row r="13" spans="1:5" x14ac:dyDescent="0.25">
      <c r="A13" s="2" t="s">
        <v>16</v>
      </c>
      <c r="B13" s="1">
        <v>5.54</v>
      </c>
      <c r="C13" s="3">
        <v>4.46</v>
      </c>
      <c r="D13" s="4">
        <v>4.0199999999999996</v>
      </c>
      <c r="E13" s="6">
        <v>4.1399999999999997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B77FB-D203-4292-9C81-0DA1BC55606B}">
  <dimension ref="A1:E13"/>
  <sheetViews>
    <sheetView tabSelected="1" workbookViewId="0">
      <selection activeCell="K1" sqref="K1:K1048576"/>
    </sheetView>
  </sheetViews>
  <sheetFormatPr defaultRowHeight="15" x14ac:dyDescent="0.25"/>
  <sheetData>
    <row r="1" spans="1:5" x14ac:dyDescent="0.25">
      <c r="A1" t="s">
        <v>0</v>
      </c>
      <c r="B1" t="s">
        <v>17</v>
      </c>
      <c r="C1" t="s">
        <v>18</v>
      </c>
      <c r="D1" t="s">
        <v>19</v>
      </c>
      <c r="E1" t="s">
        <v>20</v>
      </c>
    </row>
    <row r="2" spans="1:5" x14ac:dyDescent="0.25">
      <c r="A2" s="7" t="s">
        <v>5</v>
      </c>
      <c r="B2" s="6">
        <f>Rates!D2-Rates!C2</f>
        <v>-0.68000000000000016</v>
      </c>
      <c r="C2" s="6">
        <f>Rates!D2-Rates!B2</f>
        <v>-0.98999999999999977</v>
      </c>
      <c r="D2" s="6">
        <f>Rates!E2-Rates!D2</f>
        <v>0.13000000000000034</v>
      </c>
      <c r="E2" t="str">
        <f>IF(B2&lt;0,"Yes","No")</f>
        <v>Yes</v>
      </c>
    </row>
    <row r="3" spans="1:5" x14ac:dyDescent="0.25">
      <c r="A3" s="7" t="s">
        <v>6</v>
      </c>
      <c r="B3" s="6">
        <f>Rates!D3-Rates!C3</f>
        <v>-0.78000000000000025</v>
      </c>
      <c r="C3" s="6">
        <f>Rates!D3-Rates!B3</f>
        <v>-0.88999999999999968</v>
      </c>
      <c r="D3" s="6">
        <f>Rates!E3-Rates!D3</f>
        <v>4.9999999999999822E-2</v>
      </c>
      <c r="E3" s="5" t="str">
        <f t="shared" ref="E3:E13" si="0">IF(B3&lt;0,"Yes","No")</f>
        <v>Yes</v>
      </c>
    </row>
    <row r="4" spans="1:5" x14ac:dyDescent="0.25">
      <c r="A4" s="7" t="s">
        <v>7</v>
      </c>
      <c r="B4" s="6">
        <f>Rates!D4-Rates!C4</f>
        <v>-0.63999999999999968</v>
      </c>
      <c r="C4" s="6">
        <f>Rates!D4-Rates!B4</f>
        <v>-0.83000000000000007</v>
      </c>
      <c r="D4" s="6">
        <f>Rates!E4-Rates!D4</f>
        <v>0.10999999999999988</v>
      </c>
      <c r="E4" s="5" t="str">
        <f t="shared" si="0"/>
        <v>Yes</v>
      </c>
    </row>
    <row r="5" spans="1:5" x14ac:dyDescent="0.25">
      <c r="A5" s="7" t="s">
        <v>8</v>
      </c>
      <c r="B5" s="6">
        <f>Rates!D5-Rates!C5</f>
        <v>-0.55999999999999961</v>
      </c>
      <c r="C5" s="6">
        <f>Rates!D5-Rates!B5</f>
        <v>-0.71</v>
      </c>
      <c r="D5" s="6">
        <f>Rates!E5-Rates!D5</f>
        <v>0.2200000000000002</v>
      </c>
      <c r="E5" s="5" t="str">
        <f t="shared" si="0"/>
        <v>Yes</v>
      </c>
    </row>
    <row r="6" spans="1:5" x14ac:dyDescent="0.25">
      <c r="A6" s="7" t="s">
        <v>9</v>
      </c>
      <c r="B6" s="6">
        <f>Rates!D6-Rates!C6</f>
        <v>-0.56000000000000005</v>
      </c>
      <c r="C6" s="6">
        <f>Rates!D6-Rates!B6</f>
        <v>-1.9200000000000004</v>
      </c>
      <c r="D6" s="6">
        <f>Rates!E6-Rates!D6</f>
        <v>0.29000000000000004</v>
      </c>
      <c r="E6" s="5" t="str">
        <f t="shared" si="0"/>
        <v>Yes</v>
      </c>
    </row>
    <row r="7" spans="1:5" x14ac:dyDescent="0.25">
      <c r="A7" s="7" t="s">
        <v>10</v>
      </c>
      <c r="B7" s="6">
        <f>Rates!D7-Rates!C7</f>
        <v>-0.88999999999999968</v>
      </c>
      <c r="C7" s="6">
        <f>Rates!D7-Rates!B7</f>
        <v>-1.4500000000000002</v>
      </c>
      <c r="D7" s="6">
        <f>Rates!E7-Rates!D7</f>
        <v>0.12000000000000011</v>
      </c>
      <c r="E7" s="5" t="str">
        <f t="shared" si="0"/>
        <v>Yes</v>
      </c>
    </row>
    <row r="8" spans="1:5" x14ac:dyDescent="0.25">
      <c r="A8" s="7" t="s">
        <v>11</v>
      </c>
      <c r="B8" s="6">
        <f>Rates!D8-Rates!C8</f>
        <v>-0.93000000000000016</v>
      </c>
      <c r="C8" s="6">
        <f>Rates!D8-Rates!B8</f>
        <v>-1.4899999999999998</v>
      </c>
      <c r="D8" s="6">
        <f>Rates!E8-Rates!D8</f>
        <v>6.0000000000000053E-2</v>
      </c>
      <c r="E8" s="5" t="str">
        <f t="shared" si="0"/>
        <v>Yes</v>
      </c>
    </row>
    <row r="9" spans="1:5" x14ac:dyDescent="0.25">
      <c r="A9" s="7" t="s">
        <v>12</v>
      </c>
      <c r="B9" s="6">
        <f>Rates!D9-Rates!C9</f>
        <v>-0.73000000000000043</v>
      </c>
      <c r="C9" s="6">
        <f>Rates!D9-Rates!B9</f>
        <v>-1.37</v>
      </c>
      <c r="D9" s="6">
        <f>Rates!E9-Rates!D9</f>
        <v>0.11000000000000032</v>
      </c>
      <c r="E9" s="5" t="str">
        <f t="shared" si="0"/>
        <v>Yes</v>
      </c>
    </row>
    <row r="10" spans="1:5" x14ac:dyDescent="0.25">
      <c r="A10" s="7" t="s">
        <v>13</v>
      </c>
      <c r="B10" s="6">
        <f>Rates!D10-Rates!C10</f>
        <v>-0.63999999999999968</v>
      </c>
      <c r="C10" s="6">
        <f>Rates!D10-Rates!B10</f>
        <v>-1.1500000000000004</v>
      </c>
      <c r="D10" s="6">
        <f>Rates!E10-Rates!D10</f>
        <v>8.9999999999999858E-2</v>
      </c>
      <c r="E10" s="5" t="str">
        <f t="shared" si="0"/>
        <v>Yes</v>
      </c>
    </row>
    <row r="11" spans="1:5" x14ac:dyDescent="0.25">
      <c r="A11" s="7" t="s">
        <v>14</v>
      </c>
      <c r="B11" s="6">
        <f>Rates!D11-Rates!C11</f>
        <v>-0.27000000000000046</v>
      </c>
      <c r="C11" s="6">
        <f>Rates!D11-Rates!B11</f>
        <v>-0.77000000000000046</v>
      </c>
      <c r="D11" s="6">
        <f>Rates!E11-Rates!D11</f>
        <v>0.15000000000000036</v>
      </c>
      <c r="E11" s="5" t="str">
        <f t="shared" si="0"/>
        <v>Yes</v>
      </c>
    </row>
    <row r="12" spans="1:5" x14ac:dyDescent="0.25">
      <c r="A12" s="7" t="s">
        <v>15</v>
      </c>
      <c r="B12" s="6">
        <f>Rates!D12-Rates!C12</f>
        <v>-0.37999999999999989</v>
      </c>
      <c r="C12" s="6">
        <f>Rates!D12-Rates!B12</f>
        <v>-1.0300000000000002</v>
      </c>
      <c r="D12" s="6">
        <f>Rates!E12-Rates!D12</f>
        <v>0.16000000000000014</v>
      </c>
      <c r="E12" s="5" t="str">
        <f t="shared" si="0"/>
        <v>Yes</v>
      </c>
    </row>
    <row r="13" spans="1:5" x14ac:dyDescent="0.25">
      <c r="A13" s="7" t="s">
        <v>16</v>
      </c>
      <c r="B13" s="6">
        <f>Rates!D13-Rates!C13</f>
        <v>-0.44000000000000039</v>
      </c>
      <c r="C13" s="6">
        <f>Rates!D13-Rates!B13</f>
        <v>-1.5200000000000005</v>
      </c>
      <c r="D13" s="6">
        <f>Rates!E13-Rates!D13</f>
        <v>0.12000000000000011</v>
      </c>
      <c r="E13" s="5" t="str">
        <f t="shared" si="0"/>
        <v>Yes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Rates</vt:lpstr>
      <vt:lpstr>Spreads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Rudra Avula</dc:creator>
  <cp:lastModifiedBy>Rudra Avula</cp:lastModifiedBy>
  <dcterms:created xsi:type="dcterms:W3CDTF">2026-03-03T17:21:19Z</dcterms:created>
  <dcterms:modified xsi:type="dcterms:W3CDTF">2026-03-03T17:56:16Z</dcterms:modified>
</cp:coreProperties>
</file>